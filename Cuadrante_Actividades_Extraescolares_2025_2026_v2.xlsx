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ante Extraescolares" sheetId="1" state="visible" r:id="rId1"/>
    <sheet xmlns:r="http://schemas.openxmlformats.org/officeDocument/2006/relationships" name="Resumen por Nivel" sheetId="2" state="visible" r:id="rId2"/>
  </sheets>
  <definedNames>
    <definedName name="_xlnm._FilterDatabase" localSheetId="0" hidden="1">'Cuadrante Extraescolares'!$A$4:$F$25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2537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20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ACTIVIDADES EXTRAESCOLARES 2025/26</t>
        </is>
      </c>
    </row>
    <row r="2">
      <c r="A2" s="2" t="inlineStr">
        <is>
          <t>Estructura normalizada según reglas de negocio y mapeo de departamentos</t>
        </is>
      </c>
    </row>
    <row r="4" ht="26" customHeight="1">
      <c r="A4" s="3" t="inlineStr">
        <is>
          <t>Actividad</t>
        </is>
      </c>
      <c r="B4" s="3" t="inlineStr">
        <is>
          <t>Nivel</t>
        </is>
      </c>
      <c r="C4" s="3" t="inlineStr">
        <is>
          <t>Trimestre</t>
        </is>
      </c>
      <c r="D4" s="3" t="inlineStr">
        <is>
          <t>Departamento 1</t>
        </is>
      </c>
      <c r="E4" s="3" t="inlineStr">
        <is>
          <t>Departamento 2</t>
        </is>
      </c>
      <c r="F4" s="3" t="inlineStr">
        <is>
          <t>Departamento 3</t>
        </is>
      </c>
    </row>
    <row r="5" ht="28" customHeight="1">
      <c r="A5" s="4" t="inlineStr">
        <is>
          <t>Visita a CERRO DEL HIERRO y senderismo por la ribera del Huéznar, noviembre. Museo del agua en Puebla de los Infantes.</t>
        </is>
      </c>
      <c r="B5" s="5" t="inlineStr">
        <is>
          <t>1º ESO</t>
        </is>
      </c>
      <c r="C5" s="5" t="inlineStr">
        <is>
          <t>Primer Trimestre</t>
        </is>
      </c>
      <c r="D5" s="4" t="inlineStr">
        <is>
          <t>Ciencias Naturales</t>
        </is>
      </c>
      <c r="E5" s="4" t="inlineStr">
        <is>
          <t>Educación Física</t>
        </is>
      </c>
      <c r="F5" s="4" t="inlineStr">
        <is>
          <t>Geografía e Historia</t>
        </is>
      </c>
    </row>
    <row r="6" ht="28" customHeight="1">
      <c r="A6" s="6" t="inlineStr">
        <is>
          <t>CÓRDOBA: Visita monumental y matemática a la Mezquita y Judería.</t>
        </is>
      </c>
      <c r="B6" s="7" t="inlineStr">
        <is>
          <t>2º ESO</t>
        </is>
      </c>
      <c r="C6" s="7" t="inlineStr">
        <is>
          <t>Primer Trimestre</t>
        </is>
      </c>
      <c r="D6" s="6" t="inlineStr">
        <is>
          <t>Geografía e Historia</t>
        </is>
      </c>
      <c r="E6" s="6" t="inlineStr">
        <is>
          <t>Matemáticas</t>
        </is>
      </c>
      <c r="F6" s="6" t="inlineStr"/>
    </row>
    <row r="7" ht="28" customHeight="1">
      <c r="A7" s="4" t="inlineStr">
        <is>
          <t>Visita al Parlamento en Sevilla y Museo del Mudéjar en SEVILLA. También un proyecto social, el 24 de noviembre.</t>
        </is>
      </c>
      <c r="B7" s="5" t="inlineStr">
        <is>
          <t>3º ESO</t>
        </is>
      </c>
      <c r="C7" s="5" t="inlineStr">
        <is>
          <t>Primer Trimestre</t>
        </is>
      </c>
      <c r="D7" s="4" t="inlineStr">
        <is>
          <t>Geografía e Historia</t>
        </is>
      </c>
      <c r="E7" s="4" t="inlineStr">
        <is>
          <t>Dibujo</t>
        </is>
      </c>
      <c r="F7" s="4" t="inlineStr"/>
    </row>
    <row r="8" ht="28" customHeight="1">
      <c r="A8" s="6" t="inlineStr">
        <is>
          <t>Visita a la ciudad de CÁDIZ para visitar los escenarios donde de la ciudad relacionados con la constitución de 1812.</t>
        </is>
      </c>
      <c r="B8" s="7" t="inlineStr">
        <is>
          <t>4º ESO</t>
        </is>
      </c>
      <c r="C8" s="7" t="inlineStr">
        <is>
          <t>Primer Trimestre</t>
        </is>
      </c>
      <c r="D8" s="6" t="inlineStr">
        <is>
          <t>Geografía e Historia</t>
        </is>
      </c>
      <c r="E8" s="6" t="inlineStr"/>
      <c r="F8" s="6" t="inlineStr"/>
    </row>
    <row r="9" ht="28" customHeight="1">
      <c r="A9" s="4" t="inlineStr">
        <is>
          <t>Senderismo (Semana de Andalucía)</t>
        </is>
      </c>
      <c r="B9" s="5" t="inlineStr">
        <is>
          <t>1º ESO</t>
        </is>
      </c>
      <c r="C9" s="5" t="inlineStr">
        <is>
          <t>Segundo Trimestre</t>
        </is>
      </c>
      <c r="D9" s="4" t="inlineStr">
        <is>
          <t>Educación Física</t>
        </is>
      </c>
      <c r="E9" s="4" t="inlineStr"/>
      <c r="F9" s="4" t="inlineStr"/>
    </row>
    <row r="10" ht="28" customHeight="1">
      <c r="A10" s="6" t="inlineStr">
        <is>
          <t>Senderismo (Semana de Andalucía)</t>
        </is>
      </c>
      <c r="B10" s="7" t="inlineStr">
        <is>
          <t>2º ESO</t>
        </is>
      </c>
      <c r="C10" s="7" t="inlineStr">
        <is>
          <t>Segundo Trimestre</t>
        </is>
      </c>
      <c r="D10" s="6" t="inlineStr">
        <is>
          <t>Educación Física</t>
        </is>
      </c>
      <c r="E10" s="6" t="inlineStr"/>
      <c r="F10" s="6" t="inlineStr"/>
    </row>
    <row r="11" ht="28" customHeight="1">
      <c r="A11" s="4" t="inlineStr">
        <is>
          <t>Senderismo (Semana de Andalucía)</t>
        </is>
      </c>
      <c r="B11" s="5" t="inlineStr">
        <is>
          <t>3º ESO</t>
        </is>
      </c>
      <c r="C11" s="5" t="inlineStr">
        <is>
          <t>Segundo Trimestre</t>
        </is>
      </c>
      <c r="D11" s="4" t="inlineStr">
        <is>
          <t>Educación Física</t>
        </is>
      </c>
      <c r="E11" s="4" t="inlineStr"/>
      <c r="F11" s="4" t="inlineStr"/>
    </row>
    <row r="12" ht="28" customHeight="1">
      <c r="A12" s="6" t="inlineStr">
        <is>
          <t>Senderismo (Semana de Andalucía)</t>
        </is>
      </c>
      <c r="B12" s="7" t="inlineStr">
        <is>
          <t>4º ESO</t>
        </is>
      </c>
      <c r="C12" s="7" t="inlineStr">
        <is>
          <t>Segundo Trimestre</t>
        </is>
      </c>
      <c r="D12" s="6" t="inlineStr">
        <is>
          <t>Educación Física</t>
        </is>
      </c>
      <c r="E12" s="6" t="inlineStr"/>
      <c r="F12" s="6" t="inlineStr"/>
    </row>
    <row r="13" ht="28" customHeight="1">
      <c r="A13" s="4" t="inlineStr">
        <is>
          <t>Concierto didáctico de la ROSS en ALCALA GUADAIRA. Enero</t>
        </is>
      </c>
      <c r="B13" s="5" t="inlineStr">
        <is>
          <t>1º ESO</t>
        </is>
      </c>
      <c r="C13" s="5" t="inlineStr">
        <is>
          <t>Segundo Trimestre</t>
        </is>
      </c>
      <c r="D13" s="4" t="inlineStr">
        <is>
          <t>Música</t>
        </is>
      </c>
      <c r="E13" s="4" t="inlineStr"/>
      <c r="F13" s="4" t="inlineStr"/>
    </row>
    <row r="14" ht="28" customHeight="1">
      <c r="A14" s="6" t="inlineStr">
        <is>
          <t>Necrópolis y arte religioso en CARMONA o Patrimonio de ALCALA GUADAIRA</t>
        </is>
      </c>
      <c r="B14" s="7" t="inlineStr">
        <is>
          <t>1º ESO</t>
        </is>
      </c>
      <c r="C14" s="7" t="inlineStr">
        <is>
          <t>Segundo Trimestre</t>
        </is>
      </c>
      <c r="D14" s="6" t="inlineStr">
        <is>
          <t>Geografía e Historia</t>
        </is>
      </c>
      <c r="E14" s="6" t="inlineStr"/>
      <c r="F14" s="6" t="inlineStr"/>
    </row>
    <row r="15" ht="28" customHeight="1">
      <c r="A15" s="4" t="inlineStr">
        <is>
          <t>Visita a SEVILLA para ver la obra de teatro “Verdad” así como la rica imaginería procesional de la ciudad. 23 de marzo</t>
        </is>
      </c>
      <c r="B15" s="5" t="inlineStr">
        <is>
          <t>2º ESO</t>
        </is>
      </c>
      <c r="C15" s="5" t="inlineStr">
        <is>
          <t>Segundo Trimestre</t>
        </is>
      </c>
      <c r="D15" s="4" t="inlineStr">
        <is>
          <t>Lengua Castellana</t>
        </is>
      </c>
      <c r="E15" s="4" t="inlineStr">
        <is>
          <t>Geografía e Historia</t>
        </is>
      </c>
      <c r="F15" s="4" t="inlineStr"/>
    </row>
    <row r="16" ht="28" customHeight="1">
      <c r="A16" s="6" t="inlineStr">
        <is>
          <t>Visita a SEVILLA para ver la obra de teatro “Lazarillo de Tormes” y el FABLAB. Enero</t>
        </is>
      </c>
      <c r="B16" s="7" t="inlineStr">
        <is>
          <t>3º ESO</t>
        </is>
      </c>
      <c r="C16" s="7" t="inlineStr">
        <is>
          <t>Segundo Trimestre</t>
        </is>
      </c>
      <c r="D16" s="6" t="inlineStr">
        <is>
          <t>Lengua Castellana</t>
        </is>
      </c>
      <c r="E16" s="6" t="inlineStr">
        <is>
          <t>Tecnología</t>
        </is>
      </c>
      <c r="F16" s="6" t="inlineStr"/>
    </row>
    <row r="17" ht="28" customHeight="1">
      <c r="A17" s="4" t="inlineStr">
        <is>
          <t>Visita a la ciudad de SEVILLA para ver la “Casa de Bernarda Alba”, así como la Sevilla de la EXPO del 29, el estilo regionalista y exposición en unos de sus museos (Bellas artes) o del Caixaforum 3 Marzo.</t>
        </is>
      </c>
      <c r="B17" s="5" t="inlineStr">
        <is>
          <t>4º ESO</t>
        </is>
      </c>
      <c r="C17" s="5" t="inlineStr">
        <is>
          <t>Segundo Trimestre</t>
        </is>
      </c>
      <c r="D17" s="4" t="inlineStr">
        <is>
          <t>Lengua Castellana</t>
        </is>
      </c>
      <c r="E17" s="4" t="inlineStr">
        <is>
          <t>Geografía e Historia</t>
        </is>
      </c>
      <c r="F17" s="4" t="inlineStr">
        <is>
          <t>Dibujo</t>
        </is>
      </c>
    </row>
    <row r="18" ht="28" customHeight="1">
      <c r="A18" s="6" t="inlineStr">
        <is>
          <t>Senderismo por el entorno local. Febrero</t>
        </is>
      </c>
      <c r="B18" s="7" t="inlineStr">
        <is>
          <t>1º ESO</t>
        </is>
      </c>
      <c r="C18" s="7" t="inlineStr">
        <is>
          <t>Segundo Trimestre</t>
        </is>
      </c>
      <c r="D18" s="6" t="inlineStr">
        <is>
          <t>Educación Física</t>
        </is>
      </c>
      <c r="E18" s="6" t="inlineStr"/>
      <c r="F18" s="6" t="inlineStr"/>
    </row>
    <row r="19" ht="28" customHeight="1">
      <c r="A19" s="4" t="inlineStr">
        <is>
          <t>Senderismo por el entorno local. Noviembre</t>
        </is>
      </c>
      <c r="B19" s="5" t="inlineStr">
        <is>
          <t>2º ESO</t>
        </is>
      </c>
      <c r="C19" s="5" t="inlineStr">
        <is>
          <t>Primer Trimestre</t>
        </is>
      </c>
      <c r="D19" s="4" t="inlineStr">
        <is>
          <t>Educación Física</t>
        </is>
      </c>
      <c r="E19" s="4" t="inlineStr"/>
      <c r="F19" s="4" t="inlineStr"/>
    </row>
    <row r="20" ht="28" customHeight="1">
      <c r="A20" s="6" t="inlineStr">
        <is>
          <t>Senderismo por el entorno local. Febrero</t>
        </is>
      </c>
      <c r="B20" s="7" t="inlineStr">
        <is>
          <t>3º ESO</t>
        </is>
      </c>
      <c r="C20" s="7" t="inlineStr">
        <is>
          <t>Segundo Trimestre</t>
        </is>
      </c>
      <c r="D20" s="6" t="inlineStr">
        <is>
          <t>Educación Física</t>
        </is>
      </c>
      <c r="E20" s="6" t="inlineStr"/>
      <c r="F20" s="6" t="inlineStr"/>
    </row>
    <row r="21" ht="28" customHeight="1">
      <c r="A21" s="4" t="inlineStr">
        <is>
          <t>Senderismo por el entorno local. Febrero</t>
        </is>
      </c>
      <c r="B21" s="5" t="inlineStr">
        <is>
          <t>4º ESO</t>
        </is>
      </c>
      <c r="C21" s="5" t="inlineStr">
        <is>
          <t>Segundo Trimestre</t>
        </is>
      </c>
      <c r="D21" s="4" t="inlineStr">
        <is>
          <t>Educación Física</t>
        </is>
      </c>
      <c r="E21" s="4" t="inlineStr"/>
      <c r="F21" s="4" t="inlineStr"/>
    </row>
    <row r="22" ht="28" customHeight="1">
      <c r="A22" s="6" t="inlineStr">
        <is>
          <t>Visita a ITÁLICA</t>
        </is>
      </c>
      <c r="B22" s="7" t="inlineStr">
        <is>
          <t>1º ESO</t>
        </is>
      </c>
      <c r="C22" s="7" t="inlineStr">
        <is>
          <t>Tercer Trimestre</t>
        </is>
      </c>
      <c r="D22" s="6" t="inlineStr">
        <is>
          <t>Geografía e Historia</t>
        </is>
      </c>
      <c r="E22" s="6" t="inlineStr">
        <is>
          <t>Dibujo</t>
        </is>
      </c>
      <c r="F22" s="6" t="inlineStr"/>
    </row>
    <row r="23" ht="28" customHeight="1">
      <c r="A23" s="4" t="inlineStr">
        <is>
          <t>Visita a la ciudad de Sevilla para ver la huella monumental de los diferentes estilos artísticos de las edad medieval y moderna</t>
        </is>
      </c>
      <c r="B23" s="5" t="inlineStr">
        <is>
          <t>2º ESO</t>
        </is>
      </c>
      <c r="C23" s="5" t="inlineStr">
        <is>
          <t>Tercer Trimestre</t>
        </is>
      </c>
      <c r="D23" s="4" t="inlineStr">
        <is>
          <t>Geografía e Historia</t>
        </is>
      </c>
      <c r="E23" s="4" t="inlineStr">
        <is>
          <t>Dibujo</t>
        </is>
      </c>
      <c r="F23" s="4" t="inlineStr"/>
    </row>
    <row r="24" ht="28" customHeight="1">
      <c r="A24" s="6" t="inlineStr">
        <is>
          <t>Visita a la provincia de HUELVA, a las Minas de Río Tinto.</t>
        </is>
      </c>
      <c r="B24" s="7" t="inlineStr">
        <is>
          <t>3º ESO</t>
        </is>
      </c>
      <c r="C24" s="7" t="inlineStr">
        <is>
          <t>Tercer Trimestre</t>
        </is>
      </c>
      <c r="D24" s="6" t="inlineStr">
        <is>
          <t>Ciencias Naturales</t>
        </is>
      </c>
      <c r="E24" s="6" t="inlineStr">
        <is>
          <t>Inglés</t>
        </is>
      </c>
      <c r="F24" s="6" t="inlineStr">
        <is>
          <t>Tecnología</t>
        </is>
      </c>
    </row>
    <row r="25" ht="28" customHeight="1">
      <c r="A25" s="4" t="inlineStr">
        <is>
          <t>Feria de las Ciencias y Caixaforum en SEVILLA</t>
        </is>
      </c>
      <c r="B25" s="5" t="inlineStr">
        <is>
          <t>4º ESO</t>
        </is>
      </c>
      <c r="C25" s="5" t="inlineStr">
        <is>
          <t>Tercer Trimestre</t>
        </is>
      </c>
      <c r="D25" s="4" t="inlineStr">
        <is>
          <t>Matemáticas</t>
        </is>
      </c>
      <c r="E25" s="4" t="inlineStr">
        <is>
          <t>Tecnología</t>
        </is>
      </c>
      <c r="F25" s="4" t="inlineStr">
        <is>
          <t>Ciencias Naturales</t>
        </is>
      </c>
    </row>
  </sheetData>
  <autoFilter ref="A4:F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DISTRIBUCIÓN DE ACTIVIDADES POR NIVEL Y TRIMESTRE</t>
        </is>
      </c>
    </row>
    <row r="3" ht="24" customHeight="1">
      <c r="A3" s="3" t="inlineStr">
        <is>
          <t>Nivel</t>
        </is>
      </c>
      <c r="B3" s="3" t="inlineStr">
        <is>
          <t>Primer Trimestre</t>
        </is>
      </c>
      <c r="C3" s="3" t="inlineStr">
        <is>
          <t>Segundo Trimestre</t>
        </is>
      </c>
      <c r="D3" s="3" t="inlineStr">
        <is>
          <t>Tercer Trimestre</t>
        </is>
      </c>
      <c r="E3" s="3" t="inlineStr">
        <is>
          <t>Total</t>
        </is>
      </c>
    </row>
    <row r="4" ht="22" customHeight="1">
      <c r="A4" s="5" t="inlineStr">
        <is>
          <t>1º ESO</t>
        </is>
      </c>
      <c r="B4" s="5">
        <f>COUNTIFS('Cuadrante Extraescolares'!B$5:B$25, "1º ESO", 'Cuadrante Extraescolares'!C$5:C$25, "Primer Trimestre")</f>
        <v/>
      </c>
      <c r="C4" s="5">
        <f>COUNTIFS('Cuadrante Extraescolares'!B$5:B$25, "1º ESO", 'Cuadrante Extraescolares'!C$5:C$25, "Segundo Trimestre")</f>
        <v/>
      </c>
      <c r="D4" s="5">
        <f>COUNTIFS('Cuadrante Extraescolares'!B$5:B$25, "1º ESO", 'Cuadrante Extraescolares'!C$5:C$25, "Tercer Trimestre")</f>
        <v/>
      </c>
      <c r="E4" s="5">
        <f>SUM(B4:D4)</f>
        <v/>
      </c>
    </row>
    <row r="5" ht="22" customHeight="1">
      <c r="A5" s="7" t="inlineStr">
        <is>
          <t>2º ESO</t>
        </is>
      </c>
      <c r="B5" s="7">
        <f>COUNTIFS('Cuadrante Extraescolares'!B$5:B$25, "2º ESO", 'Cuadrante Extraescolares'!C$5:C$25, "Primer Trimestre")</f>
        <v/>
      </c>
      <c r="C5" s="7">
        <f>COUNTIFS('Cuadrante Extraescolares'!B$5:B$25, "2º ESO", 'Cuadrante Extraescolares'!C$5:C$25, "Segundo Trimestre")</f>
        <v/>
      </c>
      <c r="D5" s="7">
        <f>COUNTIFS('Cuadrante Extraescolares'!B$5:B$25, "2º ESO", 'Cuadrante Extraescolares'!C$5:C$25, "Tercer Trimestre")</f>
        <v/>
      </c>
      <c r="E5" s="7">
        <f>SUM(B5:D5)</f>
        <v/>
      </c>
    </row>
    <row r="6" ht="22" customHeight="1">
      <c r="A6" s="5" t="inlineStr">
        <is>
          <t>3º ESO</t>
        </is>
      </c>
      <c r="B6" s="5">
        <f>COUNTIFS('Cuadrante Extraescolares'!B$5:B$25, "3º ESO", 'Cuadrante Extraescolares'!C$5:C$25, "Primer Trimestre")</f>
        <v/>
      </c>
      <c r="C6" s="5">
        <f>COUNTIFS('Cuadrante Extraescolares'!B$5:B$25, "3º ESO", 'Cuadrante Extraescolares'!C$5:C$25, "Segundo Trimestre")</f>
        <v/>
      </c>
      <c r="D6" s="5">
        <f>COUNTIFS('Cuadrante Extraescolares'!B$5:B$25, "3º ESO", 'Cuadrante Extraescolares'!C$5:C$25, "Tercer Trimestre")</f>
        <v/>
      </c>
      <c r="E6" s="5">
        <f>SUM(B6:D6)</f>
        <v/>
      </c>
    </row>
    <row r="7" ht="22" customHeight="1">
      <c r="A7" s="7" t="inlineStr">
        <is>
          <t>4º ESO</t>
        </is>
      </c>
      <c r="B7" s="7">
        <f>COUNTIFS('Cuadrante Extraescolares'!B$5:B$25, "4º ESO", 'Cuadrante Extraescolares'!C$5:C$25, "Primer Trimestre")</f>
        <v/>
      </c>
      <c r="C7" s="7">
        <f>COUNTIFS('Cuadrante Extraescolares'!B$5:B$25, "4º ESO", 'Cuadrante Extraescolares'!C$5:C$25, "Segundo Trimestre")</f>
        <v/>
      </c>
      <c r="D7" s="7">
        <f>COUNTIFS('Cuadrante Extraescolares'!B$5:B$25, "4º ESO", 'Cuadrante Extraescolares'!C$5:C$25, "Tercer Trimestre")</f>
        <v/>
      </c>
      <c r="E7" s="7">
        <f>SUM(B7:D7)</f>
        <v/>
      </c>
    </row>
    <row r="8" ht="24" customHeight="1">
      <c r="A8" s="8" t="inlineStr">
        <is>
          <t>Total General</t>
        </is>
      </c>
      <c r="B8" s="8">
        <f>SUM(B4:B7)</f>
        <v/>
      </c>
      <c r="C8" s="8">
        <f>SUM(C4:C7)</f>
        <v/>
      </c>
      <c r="D8" s="8">
        <f>SUM(D4:D7)</f>
        <v/>
      </c>
      <c r="E8" s="8">
        <f>SUM(E4:E7)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2026-08-22T12:54:34Z</dcterms:created>
  <dcterms:modified xmlns:dcterms="http://purl.org/dc/terms/" xmlns:xsi="http://www.w3.org/2001/XMLSchema-instance" xsi:type="dcterms:W3CDTF">2026-08-22T12:54:34Z</dcterms:modified>
</cp:coreProperties>
</file>